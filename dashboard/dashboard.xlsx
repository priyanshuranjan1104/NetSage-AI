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<sst xmlns="http://schemas.openxmlformats.org/spreadsheetml/2006/main" count="214" uniqueCount="70">
  <si>
    <t xml:space="preserve">case_id</t>
  </si>
  <si>
    <t xml:space="preserve">category</t>
  </si>
  <si>
    <t xml:space="preserve">severity</t>
  </si>
  <si>
    <t xml:space="preserve">osi_layer</t>
  </si>
  <si>
    <t xml:space="preserve">ai_confidence</t>
  </si>
  <si>
    <t xml:space="preserve">verdict</t>
  </si>
  <si>
    <t xml:space="preserve">V01</t>
  </si>
  <si>
    <t xml:space="preserve">VLAN</t>
  </si>
  <si>
    <t xml:space="preserve">High</t>
  </si>
  <si>
    <t xml:space="preserve">Layer 2</t>
  </si>
  <si>
    <t xml:space="preserve">high</t>
  </si>
  <si>
    <t xml:space="preserve">Accepted</t>
  </si>
  <si>
    <t xml:space="preserve">V02</t>
  </si>
  <si>
    <t xml:space="preserve">Medium</t>
  </si>
  <si>
    <t xml:space="preserve">V03</t>
  </si>
  <si>
    <t xml:space="preserve">Low</t>
  </si>
  <si>
    <t xml:space="preserve">medium</t>
  </si>
  <si>
    <t xml:space="preserve">Rejected</t>
  </si>
  <si>
    <t xml:space="preserve">V04</t>
  </si>
  <si>
    <t xml:space="preserve">G01</t>
  </si>
  <si>
    <t xml:space="preserve">Gateway</t>
  </si>
  <si>
    <t xml:space="preserve">Layer 3</t>
  </si>
  <si>
    <t xml:space="preserve">G02</t>
  </si>
  <si>
    <t xml:space="preserve">G03</t>
  </si>
  <si>
    <t xml:space="preserve">G04</t>
  </si>
  <si>
    <t xml:space="preserve">D01</t>
  </si>
  <si>
    <t xml:space="preserve">DHCP</t>
  </si>
  <si>
    <t xml:space="preserve">D02</t>
  </si>
  <si>
    <t xml:space="preserve">D03</t>
  </si>
  <si>
    <t xml:space="preserve">D04</t>
  </si>
  <si>
    <t xml:space="preserve">N01</t>
  </si>
  <si>
    <t xml:space="preserve">DNS</t>
  </si>
  <si>
    <t xml:space="preserve">Layer 7</t>
  </si>
  <si>
    <t xml:space="preserve">N02</t>
  </si>
  <si>
    <t xml:space="preserve">N03</t>
  </si>
  <si>
    <t xml:space="preserve">N04</t>
  </si>
  <si>
    <t xml:space="preserve">R01</t>
  </si>
  <si>
    <t xml:space="preserve">Routing</t>
  </si>
  <si>
    <t xml:space="preserve">R02</t>
  </si>
  <si>
    <t xml:space="preserve">R03</t>
  </si>
  <si>
    <t xml:space="preserve">R04</t>
  </si>
  <si>
    <t xml:space="preserve">A01</t>
  </si>
  <si>
    <t xml:space="preserve">ACL</t>
  </si>
  <si>
    <t xml:space="preserve">Layer 4</t>
  </si>
  <si>
    <t xml:space="preserve">A02</t>
  </si>
  <si>
    <t xml:space="preserve">A03</t>
  </si>
  <si>
    <t xml:space="preserve">A04</t>
  </si>
  <si>
    <t xml:space="preserve">T01</t>
  </si>
  <si>
    <t xml:space="preserve">NAT</t>
  </si>
  <si>
    <t xml:space="preserve">T02</t>
  </si>
  <si>
    <t xml:space="preserve">T03</t>
  </si>
  <si>
    <t xml:space="preserve">W01</t>
  </si>
  <si>
    <t xml:space="preserve">Wireless</t>
  </si>
  <si>
    <t xml:space="preserve">Layer 2/3</t>
  </si>
  <si>
    <t xml:space="preserve">W02</t>
  </si>
  <si>
    <t xml:space="preserve">W03</t>
  </si>
  <si>
    <t xml:space="preserve">Layer 1</t>
  </si>
  <si>
    <t xml:space="preserve">NetSage AI — Case Dashboard</t>
  </si>
  <si>
    <t xml:space="preserve">Summary</t>
  </si>
  <si>
    <t xml:space="preserve">Cases by issue type</t>
  </si>
  <si>
    <t xml:space="preserve">Total cases</t>
  </si>
  <si>
    <t xml:space="preserve">Category</t>
  </si>
  <si>
    <t xml:space="preserve">Count</t>
  </si>
  <si>
    <t xml:space="preserve">AI Accepted (agreement)</t>
  </si>
  <si>
    <t xml:space="preserve">AI Rejected (corrected)</t>
  </si>
  <si>
    <t xml:space="preserve">AI Edited</t>
  </si>
  <si>
    <t xml:space="preserve">AI vs human agreement rate</t>
  </si>
  <si>
    <t xml:space="preserve">Cases by severity</t>
  </si>
  <si>
    <t xml:space="preserve">Severity</t>
  </si>
  <si>
    <t xml:space="preserve">Verdict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</si>
</sst>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Cases by Issue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Dashboard!$D$5:$D$12</c:f>
              <c:strCache>
                <c:ptCount val="8"/>
                <c:pt idx="0">
                  <c:v>ACL</c:v>
                </c:pt>
                <c:pt idx="1">
                  <c:v>DHCP</c:v>
                </c:pt>
                <c:pt idx="2">
                  <c:v>DNS</c:v>
                </c:pt>
                <c:pt idx="3">
                  <c:v>Gateway</c:v>
                </c:pt>
                <c:pt idx="4">
                  <c:v>NAT</c:v>
                </c:pt>
                <c:pt idx="5">
                  <c:v>Routing</c:v>
                </c:pt>
                <c:pt idx="6">
                  <c:v>VLAN</c:v>
                </c:pt>
                <c:pt idx="7">
                  <c:v>Wireless</c:v>
                </c:pt>
              </c:strCache>
            </c:strRef>
          </c:cat>
          <c:val>
            <c:numRef>
              <c:f>Dashboard!$E$5:$E$12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</c:ser>
        <c:gapWidth val="150"/>
        <c:overlap val="0"/>
        <c:axId val="57714838"/>
        <c:axId val="18741620"/>
      </c:barChart>
      <c:catAx>
        <c:axId val="57714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41620"/>
        <c:crosses val="autoZero"/>
        <c:auto val="1"/>
        <c:lblAlgn val="ctr"/>
        <c:lblOffset val="100"/>
        <c:noMultiLvlLbl val="0"/>
      </c:catAx>
      <c:valAx>
        <c:axId val="18741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14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 vs Human Verdict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Dashboard!$D$21:$D$22</c:f>
              <c:strCache>
                <c:ptCount val="2"/>
                <c:pt idx="0">
                  <c:v>Accepted</c:v>
                </c:pt>
                <c:pt idx="1">
                  <c:v>Rejected</c:v>
                </c:pt>
              </c:strCache>
            </c:strRef>
          </c:cat>
          <c:val>
            <c:numRef>
              <c:f>Dashboard!$E$21:$E$22</c:f>
              <c:numCache>
                <c:formatCode>General</c:formatCode>
                <c:ptCount val="2"/>
                <c:pt idx="0">
                  <c:v>24</c:v>
                </c:pt>
                <c:pt idx="1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255960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512244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160560</xdr:rowOff>
    </xdr:from>
    <xdr:to>
      <xdr:col>13</xdr:col>
      <xdr:colOff>38880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5122440" y="3619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7</v>
      </c>
      <c r="C3" s="0" t="s">
        <v>13</v>
      </c>
      <c r="D3" s="0" t="s">
        <v>9</v>
      </c>
      <c r="E3" s="0" t="s">
        <v>10</v>
      </c>
      <c r="F3" s="0" t="s">
        <v>11</v>
      </c>
    </row>
    <row r="4" customFormat="false" ht="15" hidden="false" customHeight="false" outlineLevel="0" collapsed="false">
      <c r="A4" s="0" t="s">
        <v>14</v>
      </c>
      <c r="B4" s="0" t="s">
        <v>7</v>
      </c>
      <c r="C4" s="0" t="s">
        <v>15</v>
      </c>
      <c r="D4" s="0" t="s">
        <v>9</v>
      </c>
      <c r="E4" s="0" t="s">
        <v>16</v>
      </c>
      <c r="F4" s="0" t="s">
        <v>17</v>
      </c>
    </row>
    <row r="5" customFormat="false" ht="15" hidden="false" customHeight="false" outlineLevel="0" collapsed="false">
      <c r="A5" s="0" t="s">
        <v>18</v>
      </c>
      <c r="B5" s="0" t="s">
        <v>7</v>
      </c>
      <c r="C5" s="0" t="s">
        <v>8</v>
      </c>
      <c r="D5" s="0" t="s">
        <v>9</v>
      </c>
      <c r="E5" s="0" t="s">
        <v>10</v>
      </c>
      <c r="F5" s="0" t="s">
        <v>11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13</v>
      </c>
      <c r="D6" s="0" t="s">
        <v>21</v>
      </c>
      <c r="E6" s="0" t="s">
        <v>10</v>
      </c>
      <c r="F6" s="0" t="s">
        <v>11</v>
      </c>
    </row>
    <row r="7" customFormat="false" ht="15" hidden="false" customHeight="false" outlineLevel="0" collapsed="false">
      <c r="A7" s="0" t="s">
        <v>22</v>
      </c>
      <c r="B7" s="0" t="s">
        <v>20</v>
      </c>
      <c r="C7" s="0" t="s">
        <v>8</v>
      </c>
      <c r="D7" s="0" t="s">
        <v>21</v>
      </c>
      <c r="E7" s="0" t="s">
        <v>10</v>
      </c>
      <c r="F7" s="0" t="s">
        <v>11</v>
      </c>
    </row>
    <row r="8" customFormat="false" ht="15" hidden="false" customHeight="false" outlineLevel="0" collapsed="false">
      <c r="A8" s="0" t="s">
        <v>23</v>
      </c>
      <c r="B8" s="0" t="s">
        <v>20</v>
      </c>
      <c r="C8" s="0" t="s">
        <v>8</v>
      </c>
      <c r="D8" s="0" t="s">
        <v>21</v>
      </c>
      <c r="E8" s="0" t="s">
        <v>16</v>
      </c>
      <c r="F8" s="0" t="s">
        <v>17</v>
      </c>
    </row>
    <row r="9" customFormat="false" ht="15" hidden="false" customHeight="false" outlineLevel="0" collapsed="false">
      <c r="A9" s="0" t="s">
        <v>24</v>
      </c>
      <c r="B9" s="0" t="s">
        <v>20</v>
      </c>
      <c r="C9" s="0" t="s">
        <v>8</v>
      </c>
      <c r="D9" s="0" t="s">
        <v>21</v>
      </c>
      <c r="E9" s="0" t="s">
        <v>10</v>
      </c>
      <c r="F9" s="0" t="s">
        <v>11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8</v>
      </c>
      <c r="D10" s="0" t="s">
        <v>21</v>
      </c>
      <c r="E10" s="0" t="s">
        <v>10</v>
      </c>
      <c r="F10" s="0" t="s">
        <v>11</v>
      </c>
    </row>
    <row r="11" customFormat="false" ht="15" hidden="false" customHeight="false" outlineLevel="0" collapsed="false">
      <c r="A11" s="0" t="s">
        <v>27</v>
      </c>
      <c r="B11" s="0" t="s">
        <v>26</v>
      </c>
      <c r="C11" s="0" t="s">
        <v>13</v>
      </c>
      <c r="D11" s="0" t="s">
        <v>21</v>
      </c>
      <c r="E11" s="0" t="s">
        <v>10</v>
      </c>
      <c r="F11" s="0" t="s">
        <v>11</v>
      </c>
    </row>
    <row r="12" customFormat="false" ht="15" hidden="false" customHeight="false" outlineLevel="0" collapsed="false">
      <c r="A12" s="0" t="s">
        <v>28</v>
      </c>
      <c r="B12" s="0" t="s">
        <v>26</v>
      </c>
      <c r="C12" s="0" t="s">
        <v>13</v>
      </c>
      <c r="D12" s="0" t="s">
        <v>21</v>
      </c>
      <c r="E12" s="0" t="s">
        <v>16</v>
      </c>
      <c r="F12" s="0" t="s">
        <v>17</v>
      </c>
    </row>
    <row r="13" customFormat="false" ht="15" hidden="false" customHeight="false" outlineLevel="0" collapsed="false">
      <c r="A13" s="0" t="s">
        <v>29</v>
      </c>
      <c r="B13" s="0" t="s">
        <v>26</v>
      </c>
      <c r="C13" s="0" t="s">
        <v>13</v>
      </c>
      <c r="D13" s="0" t="s">
        <v>21</v>
      </c>
      <c r="E13" s="0" t="s">
        <v>10</v>
      </c>
      <c r="F13" s="0" t="s">
        <v>11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13</v>
      </c>
      <c r="D14" s="0" t="s">
        <v>32</v>
      </c>
      <c r="E14" s="0" t="s">
        <v>10</v>
      </c>
      <c r="F14" s="0" t="s">
        <v>11</v>
      </c>
    </row>
    <row r="15" customFormat="false" ht="15" hidden="false" customHeight="false" outlineLevel="0" collapsed="false">
      <c r="A15" s="0" t="s">
        <v>33</v>
      </c>
      <c r="B15" s="0" t="s">
        <v>31</v>
      </c>
      <c r="C15" s="0" t="s">
        <v>8</v>
      </c>
      <c r="D15" s="0" t="s">
        <v>32</v>
      </c>
      <c r="E15" s="0" t="s">
        <v>10</v>
      </c>
      <c r="F15" s="0" t="s">
        <v>11</v>
      </c>
    </row>
    <row r="16" customFormat="false" ht="15" hidden="false" customHeight="false" outlineLevel="0" collapsed="false">
      <c r="A16" s="0" t="s">
        <v>34</v>
      </c>
      <c r="B16" s="0" t="s">
        <v>31</v>
      </c>
      <c r="C16" s="0" t="s">
        <v>15</v>
      </c>
      <c r="D16" s="0" t="s">
        <v>32</v>
      </c>
      <c r="E16" s="0" t="s">
        <v>10</v>
      </c>
      <c r="F16" s="0" t="s">
        <v>11</v>
      </c>
    </row>
    <row r="17" customFormat="false" ht="15" hidden="false" customHeight="false" outlineLevel="0" collapsed="false">
      <c r="A17" s="0" t="s">
        <v>35</v>
      </c>
      <c r="B17" s="0" t="s">
        <v>31</v>
      </c>
      <c r="C17" s="0" t="s">
        <v>13</v>
      </c>
      <c r="D17" s="0" t="s">
        <v>32</v>
      </c>
      <c r="E17" s="0" t="s">
        <v>10</v>
      </c>
      <c r="F17" s="0" t="s">
        <v>11</v>
      </c>
    </row>
    <row r="18" customFormat="false" ht="15" hidden="false" customHeight="false" outlineLevel="0" collapsed="false">
      <c r="A18" s="0" t="s">
        <v>36</v>
      </c>
      <c r="B18" s="0" t="s">
        <v>37</v>
      </c>
      <c r="C18" s="0" t="s">
        <v>8</v>
      </c>
      <c r="D18" s="0" t="s">
        <v>21</v>
      </c>
      <c r="E18" s="0" t="s">
        <v>10</v>
      </c>
      <c r="F18" s="0" t="s">
        <v>11</v>
      </c>
    </row>
    <row r="19" customFormat="false" ht="15" hidden="false" customHeight="false" outlineLevel="0" collapsed="false">
      <c r="A19" s="0" t="s">
        <v>38</v>
      </c>
      <c r="B19" s="0" t="s">
        <v>37</v>
      </c>
      <c r="C19" s="0" t="s">
        <v>13</v>
      </c>
      <c r="D19" s="0" t="s">
        <v>21</v>
      </c>
      <c r="E19" s="0" t="s">
        <v>16</v>
      </c>
      <c r="F19" s="0" t="s">
        <v>17</v>
      </c>
    </row>
    <row r="20" customFormat="false" ht="15" hidden="false" customHeight="false" outlineLevel="0" collapsed="false">
      <c r="A20" s="0" t="s">
        <v>39</v>
      </c>
      <c r="B20" s="0" t="s">
        <v>37</v>
      </c>
      <c r="C20" s="0" t="s">
        <v>13</v>
      </c>
      <c r="D20" s="0" t="s">
        <v>21</v>
      </c>
      <c r="E20" s="0" t="s">
        <v>10</v>
      </c>
      <c r="F20" s="0" t="s">
        <v>11</v>
      </c>
    </row>
    <row r="21" customFormat="false" ht="15" hidden="false" customHeight="false" outlineLevel="0" collapsed="false">
      <c r="A21" s="0" t="s">
        <v>40</v>
      </c>
      <c r="B21" s="0" t="s">
        <v>37</v>
      </c>
      <c r="C21" s="0" t="s">
        <v>8</v>
      </c>
      <c r="D21" s="0" t="s">
        <v>21</v>
      </c>
      <c r="E21" s="0" t="s">
        <v>10</v>
      </c>
      <c r="F21" s="0" t="s">
        <v>11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0" t="s">
        <v>8</v>
      </c>
      <c r="D22" s="0" t="s">
        <v>43</v>
      </c>
      <c r="E22" s="0" t="s">
        <v>10</v>
      </c>
      <c r="F22" s="0" t="s">
        <v>11</v>
      </c>
    </row>
    <row r="23" customFormat="false" ht="15" hidden="false" customHeight="false" outlineLevel="0" collapsed="false">
      <c r="A23" s="0" t="s">
        <v>44</v>
      </c>
      <c r="B23" s="0" t="s">
        <v>42</v>
      </c>
      <c r="C23" s="0" t="s">
        <v>13</v>
      </c>
      <c r="D23" s="0" t="s">
        <v>43</v>
      </c>
      <c r="E23" s="0" t="s">
        <v>10</v>
      </c>
      <c r="F23" s="0" t="s">
        <v>11</v>
      </c>
    </row>
    <row r="24" customFormat="false" ht="15" hidden="false" customHeight="false" outlineLevel="0" collapsed="false">
      <c r="A24" s="0" t="s">
        <v>45</v>
      </c>
      <c r="B24" s="0" t="s">
        <v>42</v>
      </c>
      <c r="C24" s="0" t="s">
        <v>13</v>
      </c>
      <c r="D24" s="0" t="s">
        <v>21</v>
      </c>
      <c r="E24" s="0" t="s">
        <v>16</v>
      </c>
      <c r="F24" s="0" t="s">
        <v>17</v>
      </c>
    </row>
    <row r="25" customFormat="false" ht="15" hidden="false" customHeight="false" outlineLevel="0" collapsed="false">
      <c r="A25" s="0" t="s">
        <v>46</v>
      </c>
      <c r="B25" s="0" t="s">
        <v>42</v>
      </c>
      <c r="C25" s="0" t="s">
        <v>15</v>
      </c>
      <c r="D25" s="0" t="s">
        <v>21</v>
      </c>
      <c r="E25" s="0" t="s">
        <v>10</v>
      </c>
      <c r="F25" s="0" t="s">
        <v>11</v>
      </c>
    </row>
    <row r="26" customFormat="false" ht="15" hidden="false" customHeight="false" outlineLevel="0" collapsed="false">
      <c r="A26" s="0" t="s">
        <v>47</v>
      </c>
      <c r="B26" s="0" t="s">
        <v>48</v>
      </c>
      <c r="C26" s="0" t="s">
        <v>8</v>
      </c>
      <c r="D26" s="0" t="s">
        <v>21</v>
      </c>
      <c r="E26" s="0" t="s">
        <v>10</v>
      </c>
      <c r="F26" s="0" t="s">
        <v>11</v>
      </c>
    </row>
    <row r="27" customFormat="false" ht="15" hidden="false" customHeight="false" outlineLevel="0" collapsed="false">
      <c r="A27" s="0" t="s">
        <v>49</v>
      </c>
      <c r="B27" s="0" t="s">
        <v>48</v>
      </c>
      <c r="C27" s="0" t="s">
        <v>8</v>
      </c>
      <c r="D27" s="0" t="s">
        <v>21</v>
      </c>
      <c r="E27" s="0" t="s">
        <v>10</v>
      </c>
      <c r="F27" s="0" t="s">
        <v>11</v>
      </c>
    </row>
    <row r="28" customFormat="false" ht="15" hidden="false" customHeight="false" outlineLevel="0" collapsed="false">
      <c r="A28" s="0" t="s">
        <v>50</v>
      </c>
      <c r="B28" s="0" t="s">
        <v>48</v>
      </c>
      <c r="C28" s="0" t="s">
        <v>13</v>
      </c>
      <c r="D28" s="0" t="s">
        <v>21</v>
      </c>
      <c r="E28" s="0" t="s">
        <v>16</v>
      </c>
      <c r="F28" s="0" t="s">
        <v>17</v>
      </c>
    </row>
    <row r="29" customFormat="false" ht="15" hidden="false" customHeight="false" outlineLevel="0" collapsed="false">
      <c r="A29" s="0" t="s">
        <v>51</v>
      </c>
      <c r="B29" s="0" t="s">
        <v>52</v>
      </c>
      <c r="C29" s="0" t="s">
        <v>8</v>
      </c>
      <c r="D29" s="0" t="s">
        <v>53</v>
      </c>
      <c r="E29" s="0" t="s">
        <v>10</v>
      </c>
      <c r="F29" s="0" t="s">
        <v>11</v>
      </c>
    </row>
    <row r="30" customFormat="false" ht="15" hidden="false" customHeight="false" outlineLevel="0" collapsed="false">
      <c r="A30" s="0" t="s">
        <v>54</v>
      </c>
      <c r="B30" s="0" t="s">
        <v>52</v>
      </c>
      <c r="C30" s="0" t="s">
        <v>13</v>
      </c>
      <c r="D30" s="0" t="s">
        <v>9</v>
      </c>
      <c r="E30" s="0" t="s">
        <v>10</v>
      </c>
      <c r="F30" s="0" t="s">
        <v>11</v>
      </c>
    </row>
    <row r="31" customFormat="false" ht="15" hidden="false" customHeight="false" outlineLevel="0" collapsed="false">
      <c r="A31" s="0" t="s">
        <v>55</v>
      </c>
      <c r="B31" s="0" t="s">
        <v>52</v>
      </c>
      <c r="C31" s="0" t="s">
        <v>15</v>
      </c>
      <c r="D31" s="0" t="s">
        <v>56</v>
      </c>
      <c r="E31" s="0" t="s">
        <v>10</v>
      </c>
      <c r="F31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2" t="s">
        <v>57</v>
      </c>
    </row>
    <row r="3" customFormat="false" ht="15" hidden="false" customHeight="false" outlineLevel="0" collapsed="false">
      <c r="A3" s="3" t="s">
        <v>58</v>
      </c>
      <c r="D3" s="3" t="s">
        <v>59</v>
      </c>
    </row>
    <row r="4" customFormat="false" ht="15" hidden="false" customHeight="false" outlineLevel="0" collapsed="false">
      <c r="A4" s="4" t="s">
        <v>60</v>
      </c>
      <c r="B4" s="4" t="n">
        <f aca="false">COUNTA('Raw Data'!A2:A31)</f>
        <v>30</v>
      </c>
      <c r="D4" s="1" t="s">
        <v>61</v>
      </c>
      <c r="E4" s="1" t="s">
        <v>62</v>
      </c>
    </row>
    <row r="5" customFormat="false" ht="15" hidden="false" customHeight="false" outlineLevel="0" collapsed="false">
      <c r="A5" s="4" t="s">
        <v>63</v>
      </c>
      <c r="B5" s="4" t="n">
        <f aca="false">COUNTIF('Raw Data'!F2:F31,"Accepted")</f>
        <v>24</v>
      </c>
      <c r="D5" s="5" t="s">
        <v>42</v>
      </c>
      <c r="E5" s="5" t="n">
        <f aca="false">COUNTIF('Raw Data'!B2:B31,D5)</f>
        <v>4</v>
      </c>
    </row>
    <row r="6" customFormat="false" ht="15" hidden="false" customHeight="false" outlineLevel="0" collapsed="false">
      <c r="A6" s="4" t="s">
        <v>64</v>
      </c>
      <c r="B6" s="4" t="n">
        <f aca="false">COUNTIF('Raw Data'!F2:F31,"Rejected")</f>
        <v>6</v>
      </c>
      <c r="D6" s="5" t="s">
        <v>26</v>
      </c>
      <c r="E6" s="5" t="n">
        <f aca="false">COUNTIF('Raw Data'!B2:B31,D6)</f>
        <v>4</v>
      </c>
    </row>
    <row r="7" customFormat="false" ht="15" hidden="false" customHeight="false" outlineLevel="0" collapsed="false">
      <c r="A7" s="4" t="s">
        <v>65</v>
      </c>
      <c r="B7" s="4" t="n">
        <f aca="false">COUNTIF('Raw Data'!F2:F31,"Edited")</f>
        <v>0</v>
      </c>
      <c r="D7" s="5" t="s">
        <v>31</v>
      </c>
      <c r="E7" s="5" t="n">
        <f aca="false">COUNTIF('Raw Data'!B2:B31,D7)</f>
        <v>4</v>
      </c>
    </row>
    <row r="8" customFormat="false" ht="15" hidden="false" customHeight="false" outlineLevel="0" collapsed="false">
      <c r="A8" s="4" t="s">
        <v>66</v>
      </c>
      <c r="B8" s="6" t="n">
        <f aca="false">B5/B4</f>
        <v>0.8</v>
      </c>
      <c r="D8" s="5" t="s">
        <v>20</v>
      </c>
      <c r="E8" s="5" t="n">
        <f aca="false">COUNTIF('Raw Data'!B2:B31,D8)</f>
        <v>4</v>
      </c>
    </row>
    <row r="9" customFormat="false" ht="15" hidden="false" customHeight="false" outlineLevel="0" collapsed="false">
      <c r="D9" s="0" t="s">
        <v>48</v>
      </c>
      <c r="E9" s="0" t="n">
        <f aca="false">COUNTIF('Raw Data'!B2:B31,D9)</f>
        <v>3</v>
      </c>
    </row>
    <row r="10" customFormat="false" ht="15" hidden="false" customHeight="false" outlineLevel="0" collapsed="false">
      <c r="D10" s="0" t="s">
        <v>37</v>
      </c>
      <c r="E10" s="0" t="n">
        <f aca="false">COUNTIF('Raw Data'!B2:B31,D10)</f>
        <v>4</v>
      </c>
    </row>
    <row r="11" customFormat="false" ht="15" hidden="false" customHeight="false" outlineLevel="0" collapsed="false">
      <c r="D11" s="0" t="s">
        <v>7</v>
      </c>
      <c r="E11" s="0" t="n">
        <f aca="false">COUNTIF('Raw Data'!B2:B31,D11)</f>
        <v>4</v>
      </c>
    </row>
    <row r="12" customFormat="false" ht="15" hidden="false" customHeight="false" outlineLevel="0" collapsed="false">
      <c r="D12" s="0" t="s">
        <v>52</v>
      </c>
      <c r="E12" s="0" t="n">
        <f aca="false">COUNTIF('Raw Data'!B2:B31,D12)</f>
        <v>3</v>
      </c>
    </row>
    <row r="14" customFormat="false" ht="15" hidden="false" customHeight="false" outlineLevel="0" collapsed="false">
      <c r="D14" s="3" t="s">
        <v>67</v>
      </c>
    </row>
    <row r="15" customFormat="false" ht="15" hidden="false" customHeight="false" outlineLevel="0" collapsed="false">
      <c r="D15" s="1" t="s">
        <v>68</v>
      </c>
      <c r="E15" s="1" t="s">
        <v>62</v>
      </c>
    </row>
    <row r="16" customFormat="false" ht="15" hidden="false" customHeight="false" outlineLevel="0" collapsed="false">
      <c r="D16" s="0" t="s">
        <v>8</v>
      </c>
      <c r="E16" s="0" t="n">
        <f aca="false">COUNTIF('Raw Data'!C2:C31,D16)</f>
        <v>13</v>
      </c>
    </row>
    <row r="17" customFormat="false" ht="15" hidden="false" customHeight="false" outlineLevel="0" collapsed="false">
      <c r="D17" s="0" t="s">
        <v>13</v>
      </c>
      <c r="E17" s="0" t="n">
        <f aca="false">COUNTIF('Raw Data'!C2:C31,D17)</f>
        <v>13</v>
      </c>
    </row>
    <row r="18" customFormat="false" ht="15" hidden="false" customHeight="false" outlineLevel="0" collapsed="false">
      <c r="D18" s="0" t="s">
        <v>15</v>
      </c>
      <c r="E18" s="0" t="n">
        <f aca="false">COUNTIF('Raw Data'!C2:C31,D18)</f>
        <v>4</v>
      </c>
    </row>
    <row r="20" customFormat="false" ht="15" hidden="false" customHeight="false" outlineLevel="0" collapsed="false">
      <c r="D20" s="0" t="s">
        <v>69</v>
      </c>
      <c r="E20" s="0" t="s">
        <v>62</v>
      </c>
    </row>
    <row r="21" customFormat="false" ht="15" hidden="false" customHeight="false" outlineLevel="0" collapsed="false">
      <c r="D21" s="0" t="s">
        <v>11</v>
      </c>
      <c r="E21" s="0" t="n">
        <f aca="false">B5</f>
        <v>24</v>
      </c>
    </row>
    <row r="22" customFormat="false" ht="15" hidden="false" customHeight="false" outlineLevel="0" collapsed="false">
      <c r="D22" s="0" t="s">
        <v>17</v>
      </c>
      <c r="E22" s="0" t="n">
        <f aca="false">B6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2026-08-19T02:53:40Z</dcterms:created>
  <dc:creator>openpyxl</dc:creator>
  <dc:description/>
  <dc:language>en-US</dc:language>
  <cp:lastModifiedBy/>
  <dcterms:modified xsi:type="dcterms:W3CDTF">2026-08-19T02:53:48Z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